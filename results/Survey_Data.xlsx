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<sst xmlns="http://schemas.openxmlformats.org/spreadsheetml/2006/main" count="35" uniqueCount="21">
  <si>
    <t>Timestamp</t>
  </si>
  <si>
    <t>Which test did you partake in</t>
  </si>
  <si>
    <t>How mentally demanding was the task?</t>
  </si>
  <si>
    <t xml:space="preserve">How hurried or rushed was the pace of the task? </t>
  </si>
  <si>
    <t xml:space="preserve">How successful were you in accomplishing what you were asked to do? </t>
  </si>
  <si>
    <t xml:space="preserve">How hard did you have to work to accomplish your level of performance? </t>
  </si>
  <si>
    <t xml:space="preserve">How insecure, discouraged, irritated, stressed, and annoyed were you while completing the task? </t>
  </si>
  <si>
    <t>“I found the guidance provided by the robot easy to understand.”</t>
  </si>
  <si>
    <t>“The robot helped me reach my destination efficiently.”</t>
  </si>
  <si>
    <t>“I felt confident navigating the station with the robot’s assistance.”</t>
  </si>
  <si>
    <t>“Using the robot reduced the mental effort required to navigate the station.”</t>
  </si>
  <si>
    <t>“I would prefer using this robot over traditional signage or maps.”</t>
  </si>
  <si>
    <t>Time Taken (seconds)</t>
  </si>
  <si>
    <t>No Guidance</t>
  </si>
  <si>
    <t>Speech Guidance</t>
  </si>
  <si>
    <t>Speech and Navigation Guidance</t>
  </si>
  <si>
    <t>Column 1</t>
  </si>
  <si>
    <t>NASA Task Load Index (Columns C, D, F, G)</t>
  </si>
  <si>
    <t>Likert Scale User Satisfaction</t>
  </si>
  <si>
    <t>Time Taken</t>
  </si>
  <si>
    <t>No guidance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</si>
</sst>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>
      <color rgb="FF434343"/>
      <name val="Roboto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2" fillId="3" fontId="3" numFmtId="164" xfId="0" applyAlignment="1" applyBorder="1" applyFill="1" applyFont="1" applyNumberFormat="1">
      <alignment horizontal="right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horizontal="right" shrinkToFit="0" vertical="center" wrapText="0"/>
    </xf>
    <xf borderId="3" fillId="3" fontId="4" numFmtId="0" xfId="0" applyAlignment="1" applyBorder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4" fillId="4" fontId="3" numFmtId="164" xfId="0" applyAlignment="1" applyBorder="1" applyFill="1" applyFont="1" applyNumberFormat="1">
      <alignment horizontal="right" shrinkToFit="0" vertical="center" wrapText="0"/>
    </xf>
    <xf borderId="5" fillId="4" fontId="3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horizontal="right" shrinkToFit="0" vertical="center" wrapText="0"/>
    </xf>
    <xf borderId="5" fillId="4" fontId="4" numFmtId="0" xfId="0" applyAlignment="1" applyBorder="1" applyFont="1">
      <alignment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5" fillId="4" fontId="3" numFmtId="0" xfId="0" applyAlignment="1" applyBorder="1" applyFont="1">
      <alignment horizontal="right" readingOrder="0" shrinkToFit="0" vertical="center" wrapText="0"/>
    </xf>
    <xf borderId="6" fillId="3" fontId="3" numFmtId="0" xfId="0" applyAlignment="1" applyBorder="1" applyFont="1">
      <alignment horizontal="right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7" fillId="4" fontId="3" numFmtId="0" xfId="0" applyAlignment="1" applyBorder="1" applyFont="1">
      <alignment horizontal="right" shrinkToFit="0" vertical="center" wrapText="0"/>
    </xf>
    <xf borderId="0" fillId="4" fontId="3" numFmtId="0" xfId="0" applyAlignment="1" applyFont="1">
      <alignment horizontal="right" readingOrder="0" shrinkToFit="0" vertical="center" wrapText="0"/>
    </xf>
    <xf borderId="8" fillId="3" fontId="3" numFmtId="164" xfId="0" applyAlignment="1" applyBorder="1" applyFont="1" applyNumberFormat="1">
      <alignment horizontal="right" shrinkToFit="0" vertical="center" wrapText="0"/>
    </xf>
    <xf borderId="9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horizontal="right" shrinkToFit="0" vertical="center" wrapText="0"/>
    </xf>
    <xf borderId="10" fillId="3" fontId="3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6" displayName="Raw_Data" name="Raw_Data" id="1">
  <tableColumns count="13">
    <tableColumn name="Timestamp" id="1"/>
    <tableColumn name="Which test did you partake in" id="2"/>
    <tableColumn name="How mentally demanding was the task?" id="3"/>
    <tableColumn name="How hurried or rushed was the pace of the task? " id="4"/>
    <tableColumn name="How successful were you in accomplishing what you were asked to do? " id="5"/>
    <tableColumn name="How hard did you have to work to accomplish your level of performance? " id="6"/>
    <tableColumn name="How insecure, discouraged, irritated, stressed, and annoyed were you while completing the task? " id="7"/>
    <tableColumn name="“I found the guidance provided by the robot easy to understand.”" id="8"/>
    <tableColumn name="“The robot helped me reach my destination efficiently.”" id="9"/>
    <tableColumn name="“I felt confident navigating the station with the robot’s assistance.”" id="10"/>
    <tableColumn name="“Using the robot reduced the mental effort required to navigate the station.”" id="11"/>
    <tableColumn name="“I would prefer using this robot over traditional signage or maps.”" id="12"/>
    <tableColumn name="Time Taken (seconds)" id="1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2:D25" displayName="Average_Scoring_Across_Metrics" name="Average_Scoring_Across_Metrics" id="2">
  <tableColumns count="4">
    <tableColumn name="Column 1" id="1"/>
    <tableColumn name="NASA Task Load Index (Columns C, D, F, G)" id="2"/>
    <tableColumn name="Likert Scale User Satisfaction" id="3"/>
    <tableColumn name="Time Taken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35.25"/>
    <col customWidth="1" min="3" max="3" width="25.75"/>
    <col customWidth="1" min="13" max="13" width="23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22.5" customHeight="1">
      <c r="A2" s="4">
        <v>46101.3995668287</v>
      </c>
      <c r="B2" s="5" t="s">
        <v>13</v>
      </c>
      <c r="C2" s="6">
        <v>3.0</v>
      </c>
      <c r="D2" s="6">
        <v>3.0</v>
      </c>
      <c r="E2" s="6">
        <v>5.0</v>
      </c>
      <c r="F2" s="6">
        <v>3.0</v>
      </c>
      <c r="G2" s="6">
        <v>1.0</v>
      </c>
      <c r="H2" s="7"/>
      <c r="I2" s="7"/>
      <c r="J2" s="7"/>
      <c r="K2" s="7"/>
      <c r="L2" s="7"/>
      <c r="M2" s="8">
        <v>19.0</v>
      </c>
    </row>
    <row r="3" ht="22.5" customHeight="1">
      <c r="A3" s="9">
        <v>46101.400159259254</v>
      </c>
      <c r="B3" s="10" t="s">
        <v>13</v>
      </c>
      <c r="C3" s="11">
        <v>3.0</v>
      </c>
      <c r="D3" s="11">
        <v>2.0</v>
      </c>
      <c r="E3" s="11">
        <v>5.0</v>
      </c>
      <c r="F3" s="11">
        <v>3.0</v>
      </c>
      <c r="G3" s="11">
        <v>1.0</v>
      </c>
      <c r="H3" s="12"/>
      <c r="I3" s="12"/>
      <c r="J3" s="12"/>
      <c r="K3" s="12"/>
      <c r="L3" s="12"/>
      <c r="M3" s="13">
        <v>21.0</v>
      </c>
    </row>
    <row r="4" ht="22.5" customHeight="1">
      <c r="A4" s="4">
        <v>46101.40070409722</v>
      </c>
      <c r="B4" s="5" t="s">
        <v>13</v>
      </c>
      <c r="C4" s="6">
        <v>1.0</v>
      </c>
      <c r="D4" s="6">
        <v>1.0</v>
      </c>
      <c r="E4" s="6">
        <v>5.0</v>
      </c>
      <c r="F4" s="6">
        <v>1.0</v>
      </c>
      <c r="G4" s="6">
        <v>1.0</v>
      </c>
      <c r="H4" s="7"/>
      <c r="I4" s="7"/>
      <c r="J4" s="7"/>
      <c r="K4" s="7"/>
      <c r="L4" s="7"/>
      <c r="M4" s="8">
        <v>34.0</v>
      </c>
    </row>
    <row r="5" ht="22.5" customHeight="1">
      <c r="A5" s="9">
        <v>46101.40103100694</v>
      </c>
      <c r="B5" s="10" t="s">
        <v>13</v>
      </c>
      <c r="C5" s="11">
        <v>3.0</v>
      </c>
      <c r="D5" s="11">
        <v>1.0</v>
      </c>
      <c r="E5" s="11">
        <v>5.0</v>
      </c>
      <c r="F5" s="11">
        <v>2.0</v>
      </c>
      <c r="G5" s="11">
        <v>1.0</v>
      </c>
      <c r="H5" s="12"/>
      <c r="I5" s="12"/>
      <c r="J5" s="12"/>
      <c r="K5" s="12"/>
      <c r="L5" s="12"/>
      <c r="M5" s="13">
        <v>24.0</v>
      </c>
    </row>
    <row r="6" ht="22.5" customHeight="1">
      <c r="A6" s="4">
        <v>46101.40130032407</v>
      </c>
      <c r="B6" s="5" t="s">
        <v>13</v>
      </c>
      <c r="C6" s="6">
        <v>2.0</v>
      </c>
      <c r="D6" s="6">
        <v>2.0</v>
      </c>
      <c r="E6" s="6">
        <v>5.0</v>
      </c>
      <c r="F6" s="6">
        <v>3.0</v>
      </c>
      <c r="G6" s="6">
        <v>3.0</v>
      </c>
      <c r="H6" s="7"/>
      <c r="I6" s="7"/>
      <c r="J6" s="7"/>
      <c r="K6" s="7"/>
      <c r="L6" s="7"/>
      <c r="M6" s="8">
        <v>28.0</v>
      </c>
    </row>
    <row r="7" ht="22.5" customHeight="1">
      <c r="A7" s="9">
        <v>46101.40226479167</v>
      </c>
      <c r="B7" s="10" t="s">
        <v>14</v>
      </c>
      <c r="C7" s="11">
        <v>2.0</v>
      </c>
      <c r="D7" s="11">
        <v>2.0</v>
      </c>
      <c r="E7" s="11">
        <v>5.0</v>
      </c>
      <c r="F7" s="11">
        <v>2.0</v>
      </c>
      <c r="G7" s="11">
        <v>1.0</v>
      </c>
      <c r="H7" s="11">
        <v>4.0</v>
      </c>
      <c r="I7" s="11">
        <v>4.0</v>
      </c>
      <c r="J7" s="11">
        <v>3.0</v>
      </c>
      <c r="K7" s="11">
        <v>4.0</v>
      </c>
      <c r="L7" s="11">
        <v>4.0</v>
      </c>
      <c r="M7" s="8">
        <v>24.0</v>
      </c>
    </row>
    <row r="8" ht="22.5" customHeight="1">
      <c r="A8" s="4">
        <v>46101.402666145834</v>
      </c>
      <c r="B8" s="5" t="s">
        <v>14</v>
      </c>
      <c r="C8" s="6">
        <v>1.0</v>
      </c>
      <c r="D8" s="6">
        <v>1.0</v>
      </c>
      <c r="E8" s="6">
        <v>5.0</v>
      </c>
      <c r="F8" s="6">
        <v>2.0</v>
      </c>
      <c r="G8" s="6">
        <v>1.0</v>
      </c>
      <c r="H8" s="6">
        <v>4.0</v>
      </c>
      <c r="I8" s="6">
        <v>4.0</v>
      </c>
      <c r="J8" s="6">
        <v>3.0</v>
      </c>
      <c r="K8" s="6">
        <v>4.0</v>
      </c>
      <c r="L8" s="6">
        <v>3.0</v>
      </c>
      <c r="M8" s="13">
        <v>18.0</v>
      </c>
    </row>
    <row r="9" ht="22.5" customHeight="1">
      <c r="A9" s="9">
        <v>46101.403758009255</v>
      </c>
      <c r="B9" s="10" t="s">
        <v>14</v>
      </c>
      <c r="C9" s="11">
        <v>2.0</v>
      </c>
      <c r="D9" s="11">
        <v>2.0</v>
      </c>
      <c r="E9" s="11">
        <v>5.0</v>
      </c>
      <c r="F9" s="11">
        <v>2.0</v>
      </c>
      <c r="G9" s="11">
        <v>1.0</v>
      </c>
      <c r="H9" s="11">
        <v>3.0</v>
      </c>
      <c r="I9" s="11">
        <v>3.0</v>
      </c>
      <c r="J9" s="11">
        <v>3.0</v>
      </c>
      <c r="K9" s="11">
        <v>4.0</v>
      </c>
      <c r="L9" s="11">
        <v>5.0</v>
      </c>
      <c r="M9" s="14">
        <v>17.0</v>
      </c>
    </row>
    <row r="10" ht="22.5" customHeight="1">
      <c r="A10" s="4">
        <v>46101.4045899537</v>
      </c>
      <c r="B10" s="5" t="s">
        <v>14</v>
      </c>
      <c r="C10" s="6">
        <v>1.0</v>
      </c>
      <c r="D10" s="6">
        <v>1.0</v>
      </c>
      <c r="E10" s="6">
        <v>5.0</v>
      </c>
      <c r="F10" s="6">
        <v>2.0</v>
      </c>
      <c r="G10" s="6">
        <v>1.0</v>
      </c>
      <c r="H10" s="6">
        <v>3.0</v>
      </c>
      <c r="I10" s="6">
        <v>4.0</v>
      </c>
      <c r="J10" s="6">
        <v>3.0</v>
      </c>
      <c r="K10" s="6">
        <v>4.0</v>
      </c>
      <c r="L10" s="6">
        <v>4.0</v>
      </c>
      <c r="M10" s="13">
        <v>23.0</v>
      </c>
    </row>
    <row r="11" ht="22.5" customHeight="1">
      <c r="A11" s="9">
        <v>46101.405240844906</v>
      </c>
      <c r="B11" s="10" t="s">
        <v>14</v>
      </c>
      <c r="C11" s="11">
        <v>1.0</v>
      </c>
      <c r="D11" s="11">
        <v>1.0</v>
      </c>
      <c r="E11" s="15">
        <v>5.0</v>
      </c>
      <c r="F11" s="11">
        <v>1.0</v>
      </c>
      <c r="G11" s="11">
        <v>4.0</v>
      </c>
      <c r="H11" s="11">
        <v>2.0</v>
      </c>
      <c r="I11" s="11">
        <v>1.0</v>
      </c>
      <c r="J11" s="11">
        <v>2.0</v>
      </c>
      <c r="K11" s="11">
        <v>2.0</v>
      </c>
      <c r="L11" s="11">
        <v>3.0</v>
      </c>
      <c r="M11" s="8">
        <v>20.0</v>
      </c>
    </row>
    <row r="12" ht="22.5" customHeight="1">
      <c r="A12" s="4">
        <v>46101.40611814815</v>
      </c>
      <c r="B12" s="5" t="s">
        <v>15</v>
      </c>
      <c r="C12" s="6">
        <v>1.0</v>
      </c>
      <c r="D12" s="6">
        <v>1.0</v>
      </c>
      <c r="E12" s="6">
        <v>5.0</v>
      </c>
      <c r="F12" s="6">
        <v>1.0</v>
      </c>
      <c r="G12" s="6">
        <v>2.0</v>
      </c>
      <c r="H12" s="6">
        <v>5.0</v>
      </c>
      <c r="I12" s="6">
        <v>4.0</v>
      </c>
      <c r="J12" s="6">
        <v>5.0</v>
      </c>
      <c r="K12" s="6">
        <v>5.0</v>
      </c>
      <c r="L12" s="16">
        <v>2.0</v>
      </c>
      <c r="M12" s="17">
        <v>86.0</v>
      </c>
    </row>
    <row r="13" ht="22.5" customHeight="1">
      <c r="A13" s="9">
        <v>46101.40667809028</v>
      </c>
      <c r="B13" s="10" t="s">
        <v>15</v>
      </c>
      <c r="C13" s="11">
        <v>1.0</v>
      </c>
      <c r="D13" s="11">
        <v>1.0</v>
      </c>
      <c r="E13" s="11">
        <v>5.0</v>
      </c>
      <c r="F13" s="11">
        <v>1.0</v>
      </c>
      <c r="G13" s="11">
        <v>3.0</v>
      </c>
      <c r="H13" s="11">
        <v>5.0</v>
      </c>
      <c r="I13" s="11">
        <v>3.0</v>
      </c>
      <c r="J13" s="11">
        <v>5.0</v>
      </c>
      <c r="K13" s="11">
        <v>4.0</v>
      </c>
      <c r="L13" s="18">
        <v>2.0</v>
      </c>
      <c r="M13" s="19">
        <v>74.0</v>
      </c>
    </row>
    <row r="14" ht="22.5" customHeight="1">
      <c r="A14" s="4">
        <v>46101.40708971064</v>
      </c>
      <c r="B14" s="5" t="s">
        <v>15</v>
      </c>
      <c r="C14" s="6">
        <v>1.0</v>
      </c>
      <c r="D14" s="6">
        <v>1.0</v>
      </c>
      <c r="E14" s="6">
        <v>5.0</v>
      </c>
      <c r="F14" s="6">
        <v>2.0</v>
      </c>
      <c r="G14" s="6">
        <v>2.0</v>
      </c>
      <c r="H14" s="6">
        <v>5.0</v>
      </c>
      <c r="I14" s="6">
        <v>4.0</v>
      </c>
      <c r="J14" s="6">
        <v>5.0</v>
      </c>
      <c r="K14" s="6">
        <v>5.0</v>
      </c>
      <c r="L14" s="16">
        <v>3.0</v>
      </c>
      <c r="M14" s="17">
        <v>85.0</v>
      </c>
    </row>
    <row r="15" ht="22.5" customHeight="1">
      <c r="A15" s="9">
        <v>46101.407635428244</v>
      </c>
      <c r="B15" s="10" t="s">
        <v>15</v>
      </c>
      <c r="C15" s="11">
        <v>1.0</v>
      </c>
      <c r="D15" s="11">
        <v>1.0</v>
      </c>
      <c r="E15" s="15">
        <v>5.0</v>
      </c>
      <c r="F15" s="11">
        <v>1.0</v>
      </c>
      <c r="G15" s="11">
        <v>4.0</v>
      </c>
      <c r="H15" s="11">
        <v>3.0</v>
      </c>
      <c r="I15" s="11">
        <v>1.0</v>
      </c>
      <c r="J15" s="11">
        <v>1.0</v>
      </c>
      <c r="K15" s="11">
        <v>3.0</v>
      </c>
      <c r="L15" s="18">
        <v>1.0</v>
      </c>
      <c r="M15" s="19">
        <v>80.0</v>
      </c>
    </row>
    <row r="16" ht="22.5" customHeight="1">
      <c r="A16" s="20">
        <v>46101.40815238426</v>
      </c>
      <c r="B16" s="21" t="s">
        <v>15</v>
      </c>
      <c r="C16" s="22">
        <v>1.0</v>
      </c>
      <c r="D16" s="22">
        <v>1.0</v>
      </c>
      <c r="E16" s="22">
        <v>5.0</v>
      </c>
      <c r="F16" s="22">
        <v>1.0</v>
      </c>
      <c r="G16" s="22">
        <v>1.0</v>
      </c>
      <c r="H16" s="22">
        <v>5.0</v>
      </c>
      <c r="I16" s="22">
        <v>3.0</v>
      </c>
      <c r="J16" s="22">
        <v>5.0</v>
      </c>
      <c r="K16" s="22">
        <v>5.0</v>
      </c>
      <c r="L16" s="23">
        <v>3.0</v>
      </c>
      <c r="M16" s="17">
        <v>82.0</v>
      </c>
    </row>
    <row r="21">
      <c r="A21" s="24"/>
      <c r="B21" s="25"/>
      <c r="C21" s="25"/>
      <c r="D21" s="25"/>
    </row>
    <row r="22" ht="22.5" customHeight="1">
      <c r="A22" s="26" t="s">
        <v>16</v>
      </c>
      <c r="B22" s="27" t="s">
        <v>17</v>
      </c>
      <c r="C22" s="27" t="s">
        <v>18</v>
      </c>
      <c r="D22" s="27" t="s">
        <v>19</v>
      </c>
    </row>
    <row r="23" ht="22.5" customHeight="1">
      <c r="A23" s="14" t="s">
        <v>20</v>
      </c>
      <c r="B23" s="28">
        <f>average(C2:D6,F2,G2,G3,F3,F4,G4,G5,F5,F6,G6)</f>
        <v>2</v>
      </c>
      <c r="D23" s="28">
        <f>average(M2:M6)</f>
        <v>25.2</v>
      </c>
    </row>
    <row r="24" ht="22.5" customHeight="1">
      <c r="A24" s="14" t="s">
        <v>14</v>
      </c>
      <c r="B24" s="28">
        <f>average(C7:D11,F7,G7,F8,G8,G9,F9,F10,G10,G11,F11)</f>
        <v>1.55</v>
      </c>
      <c r="C24" s="28">
        <f> average(H7:L11)</f>
        <v>3.32</v>
      </c>
      <c r="D24" s="28">
        <f>average(M7:M11)</f>
        <v>20.4</v>
      </c>
    </row>
    <row r="25" ht="22.5" customHeight="1">
      <c r="A25" s="14" t="s">
        <v>15</v>
      </c>
      <c r="B25" s="28">
        <f>average(C12:D16,F12,G12,F13,G13,F14,G14,G15,F15,F16,G16)</f>
        <v>1.4</v>
      </c>
      <c r="C25" s="28">
        <f> average(H12:L16)</f>
        <v>3.68</v>
      </c>
      <c r="D25" s="28">
        <f>average(M12:M16)</f>
        <v>81.4</v>
      </c>
    </row>
  </sheetData>
  <drawing r:id="rId1"/>
  <tableParts count="2">
    <tablePart r:id="rId4"/>
    <tablePart r:id="rId5"/>
  </tableParts>
</worksheet>
</file>